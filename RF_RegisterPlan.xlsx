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\Desktop\Vincenzo\INVESTIMENTOS\"/>
    </mc:Choice>
  </mc:AlternateContent>
  <xr:revisionPtr revIDLastSave="0" documentId="13_ncr:1_{3BE62186-E68D-4020-8EFC-5C75FE15999D}" xr6:coauthVersionLast="47" xr6:coauthVersionMax="47" xr10:uidLastSave="{00000000-0000-0000-0000-000000000000}"/>
  <bookViews>
    <workbookView xWindow="-120" yWindow="-120" windowWidth="20730" windowHeight="11160" xr2:uid="{B128BB87-AD24-49A0-80A9-AE630C092DBB}"/>
  </bookViews>
  <sheets>
    <sheet name="Planilha1" sheetId="1" r:id="rId1"/>
  </sheets>
  <definedNames>
    <definedName name="_xlnm._FilterDatabase" localSheetId="0" hidden="1">Planilha1!$A$1:$H$40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39" i="1"/>
  <c r="H38" i="1"/>
  <c r="H37" i="1"/>
  <c r="H36" i="1"/>
  <c r="H35" i="1"/>
  <c r="H34" i="1"/>
  <c r="H32" i="1"/>
  <c r="H33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5" i="1"/>
  <c r="H16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<sst xmlns="http://schemas.openxmlformats.org/spreadsheetml/2006/main" count="125" uniqueCount="20">
  <si>
    <t>DATA APLICACAO</t>
  </si>
  <si>
    <t>VALOR</t>
  </si>
  <si>
    <t>TITULO</t>
  </si>
  <si>
    <t>EMISSOR</t>
  </si>
  <si>
    <t>TAXA</t>
  </si>
  <si>
    <t>BENCHMARK</t>
  </si>
  <si>
    <t>DATA VENCIMENTO</t>
  </si>
  <si>
    <t>CDB</t>
  </si>
  <si>
    <t>SOFISA</t>
  </si>
  <si>
    <t>CDI</t>
  </si>
  <si>
    <t>PRE</t>
  </si>
  <si>
    <t>ORIGINAL</t>
  </si>
  <si>
    <t>LCA</t>
  </si>
  <si>
    <t>ABC</t>
  </si>
  <si>
    <t>LCI</t>
  </si>
  <si>
    <t>PINE</t>
  </si>
  <si>
    <t>BRB</t>
  </si>
  <si>
    <t>SIT</t>
  </si>
  <si>
    <t>IPCA</t>
  </si>
  <si>
    <t>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</si>
</sst>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2" fillId="0" borderId="0" xfId="0" applyNumberFormat="1" applyFont="1"/>
    <xf numFmtId="0" fontId="2" fillId="0" borderId="0" xfId="0" applyFont="1"/>
    <xf numFmtId="10" fontId="0" fillId="0" borderId="0" xfId="2" applyNumberFormat="1" applyFont="1"/>
    <xf numFmtId="14" fontId="0" fillId="0" borderId="0" xfId="0" applyNumberFormat="1"/>
    <xf numFmtId="43" fontId="0" fillId="0" borderId="0" xfId="1" applyFont="1" applyFill="1"/>
    <xf numFmtId="10" fontId="0" fillId="0" borderId="0" xfId="2" applyNumberFormat="1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43AF-AFBA-436B-B954-EF4F705F6291}">
  <dimension ref="A1:H40"/>
  <sheetViews>
    <sheetView tabSelected="1" topLeftCell="A3" zoomScale="130" zoomScaleNormal="130" workbookViewId="0">
      <selection activeCell="F16" sqref="F16"/>
    </sheetView>
  </sheetViews>
  <sheetFormatPr defaultRowHeight="15" x14ac:dyDescent="0.25"/>
  <cols>
    <col min="1" max="1" width="19" bestFit="1" customWidth="1"/>
    <col min="2" max="2" width="12.28515625" bestFit="1" customWidth="1"/>
    <col min="3" max="3" width="9.5703125" bestFit="1" customWidth="1"/>
    <col min="4" max="4" width="11.5703125" bestFit="1" customWidth="1"/>
    <col min="5" max="5" width="8.42578125" style="3" customWidth="1"/>
    <col min="6" max="6" width="15" bestFit="1" customWidth="1"/>
    <col min="7" max="7" width="21" bestFit="1" customWidth="1"/>
    <col min="8" max="8" width="10.855468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</v>
      </c>
    </row>
    <row r="2" spans="1:8" x14ac:dyDescent="0.25">
      <c r="A2" s="4">
        <v>44876</v>
      </c>
      <c r="B2" s="5">
        <v>3334</v>
      </c>
      <c r="C2" t="s">
        <v>7</v>
      </c>
      <c r="D2" t="s">
        <v>8</v>
      </c>
      <c r="E2" s="6">
        <v>0.1396</v>
      </c>
      <c r="F2" t="s">
        <v>10</v>
      </c>
      <c r="G2" s="4">
        <v>45978</v>
      </c>
      <c r="H2" t="str">
        <f t="shared" ref="H2:H40" ca="1" si="0">IF(G2&lt;TODAY(),"LIQUIDADO","EM SER")</f>
        <v>LIQUIDADO</v>
      </c>
    </row>
    <row r="3" spans="1:8" x14ac:dyDescent="0.25">
      <c r="A3" s="4">
        <v>45377</v>
      </c>
      <c r="B3" s="5">
        <v>796</v>
      </c>
      <c r="C3" t="s">
        <v>7</v>
      </c>
      <c r="D3" t="s">
        <v>8</v>
      </c>
      <c r="E3" s="6">
        <v>1.1000000000000001</v>
      </c>
      <c r="F3" t="s">
        <v>9</v>
      </c>
      <c r="G3" s="4">
        <v>46475</v>
      </c>
      <c r="H3" t="str">
        <f t="shared" ca="1" si="0"/>
        <v>EM SER</v>
      </c>
    </row>
    <row r="4" spans="1:8" x14ac:dyDescent="0.25">
      <c r="A4" s="4">
        <v>45408</v>
      </c>
      <c r="B4" s="5">
        <v>394</v>
      </c>
      <c r="C4" t="s">
        <v>7</v>
      </c>
      <c r="D4" t="s">
        <v>8</v>
      </c>
      <c r="E4" s="6">
        <v>1.1000000000000001</v>
      </c>
      <c r="F4" t="s">
        <v>9</v>
      </c>
      <c r="G4" s="4">
        <v>46504</v>
      </c>
      <c r="H4" t="str">
        <f t="shared" ca="1" si="0"/>
        <v>EM SER</v>
      </c>
    </row>
    <row r="5" spans="1:8" x14ac:dyDescent="0.25">
      <c r="A5" s="4">
        <v>45422</v>
      </c>
      <c r="B5" s="5">
        <v>10000.61</v>
      </c>
      <c r="C5" t="s">
        <v>7</v>
      </c>
      <c r="D5" t="s">
        <v>8</v>
      </c>
      <c r="E5" s="6">
        <v>0.128</v>
      </c>
      <c r="F5" t="s">
        <v>10</v>
      </c>
      <c r="G5" s="4">
        <v>47249</v>
      </c>
      <c r="H5" t="str">
        <f t="shared" ca="1" si="0"/>
        <v>EM SER</v>
      </c>
    </row>
    <row r="6" spans="1:8" x14ac:dyDescent="0.25">
      <c r="A6" s="4">
        <v>45429</v>
      </c>
      <c r="B6" s="5">
        <v>15697.93</v>
      </c>
      <c r="C6" t="s">
        <v>12</v>
      </c>
      <c r="D6" t="s">
        <v>8</v>
      </c>
      <c r="E6" s="6">
        <v>0.92</v>
      </c>
      <c r="F6" t="s">
        <v>9</v>
      </c>
      <c r="G6" s="4">
        <v>45796</v>
      </c>
      <c r="H6" t="str">
        <f t="shared" ca="1" si="0"/>
        <v>LIQUIDADO</v>
      </c>
    </row>
    <row r="7" spans="1:8" x14ac:dyDescent="0.25">
      <c r="A7" s="4">
        <v>45433</v>
      </c>
      <c r="B7" s="5">
        <v>1670</v>
      </c>
      <c r="C7" t="s">
        <v>12</v>
      </c>
      <c r="D7" t="s">
        <v>8</v>
      </c>
      <c r="E7" s="6">
        <v>0.92</v>
      </c>
      <c r="F7" t="s">
        <v>9</v>
      </c>
      <c r="G7" s="4">
        <v>45798</v>
      </c>
      <c r="H7" t="str">
        <f t="shared" ca="1" si="0"/>
        <v>LIQUIDADO</v>
      </c>
    </row>
    <row r="8" spans="1:8" x14ac:dyDescent="0.25">
      <c r="A8" s="4">
        <v>45439</v>
      </c>
      <c r="B8" s="5">
        <v>1977.06</v>
      </c>
      <c r="C8" t="s">
        <v>12</v>
      </c>
      <c r="D8" t="s">
        <v>8</v>
      </c>
      <c r="E8" s="6">
        <v>0.92</v>
      </c>
      <c r="F8" t="s">
        <v>9</v>
      </c>
      <c r="G8" s="4">
        <v>46160</v>
      </c>
      <c r="H8" t="str">
        <f t="shared" ca="1" si="0"/>
        <v>EM SER</v>
      </c>
    </row>
    <row r="9" spans="1:8" x14ac:dyDescent="0.25">
      <c r="A9" s="4">
        <v>45439</v>
      </c>
      <c r="B9" s="5">
        <v>10530.77</v>
      </c>
      <c r="C9" t="s">
        <v>12</v>
      </c>
      <c r="D9" t="s">
        <v>8</v>
      </c>
      <c r="E9" s="6">
        <v>0.92</v>
      </c>
      <c r="F9" t="s">
        <v>9</v>
      </c>
      <c r="G9" s="4">
        <v>46160</v>
      </c>
      <c r="H9" t="str">
        <f t="shared" ca="1" si="0"/>
        <v>EM SER</v>
      </c>
    </row>
    <row r="10" spans="1:8" x14ac:dyDescent="0.25">
      <c r="A10" s="4">
        <v>45464</v>
      </c>
      <c r="B10" s="5">
        <v>1082</v>
      </c>
      <c r="C10" t="s">
        <v>7</v>
      </c>
      <c r="D10" t="s">
        <v>8</v>
      </c>
      <c r="E10" s="6">
        <v>1.1000000000000001</v>
      </c>
      <c r="F10" t="s">
        <v>9</v>
      </c>
      <c r="G10" s="4">
        <v>46560</v>
      </c>
      <c r="H10" t="str">
        <f t="shared" ca="1" si="0"/>
        <v>EM SER</v>
      </c>
    </row>
    <row r="11" spans="1:8" x14ac:dyDescent="0.25">
      <c r="A11" s="4">
        <v>45490</v>
      </c>
      <c r="B11" s="5">
        <v>1000</v>
      </c>
      <c r="C11" t="s">
        <v>14</v>
      </c>
      <c r="D11" t="s">
        <v>16</v>
      </c>
      <c r="E11" s="6">
        <v>0.97</v>
      </c>
      <c r="F11" t="s">
        <v>9</v>
      </c>
      <c r="G11" s="4">
        <v>45855</v>
      </c>
      <c r="H11" t="str">
        <f t="shared" ca="1" si="0"/>
        <v>LIQUIDADO</v>
      </c>
    </row>
    <row r="12" spans="1:8" x14ac:dyDescent="0.25">
      <c r="A12" s="4">
        <v>45495</v>
      </c>
      <c r="B12" s="5">
        <v>2000</v>
      </c>
      <c r="C12" t="s">
        <v>14</v>
      </c>
      <c r="D12" t="s">
        <v>16</v>
      </c>
      <c r="E12" s="6">
        <v>0.97</v>
      </c>
      <c r="F12" t="s">
        <v>9</v>
      </c>
      <c r="G12" s="4">
        <v>45860</v>
      </c>
      <c r="H12" t="str">
        <f t="shared" ca="1" si="0"/>
        <v>LIQUIDADO</v>
      </c>
    </row>
    <row r="13" spans="1:8" x14ac:dyDescent="0.25">
      <c r="A13" s="4">
        <v>45497</v>
      </c>
      <c r="B13" s="5">
        <v>1000</v>
      </c>
      <c r="C13" t="s">
        <v>14</v>
      </c>
      <c r="D13" t="s">
        <v>16</v>
      </c>
      <c r="E13" s="6">
        <v>0.97</v>
      </c>
      <c r="F13" t="s">
        <v>9</v>
      </c>
      <c r="G13" s="4">
        <v>45862</v>
      </c>
      <c r="H13" t="str">
        <f t="shared" ca="1" si="0"/>
        <v>LIQUIDADO</v>
      </c>
    </row>
    <row r="14" spans="1:8" x14ac:dyDescent="0.25">
      <c r="A14" s="4">
        <v>45525</v>
      </c>
      <c r="B14" s="5">
        <v>1670</v>
      </c>
      <c r="C14" t="s">
        <v>7</v>
      </c>
      <c r="D14" t="s">
        <v>8</v>
      </c>
      <c r="E14" s="6">
        <v>1.1000000000000001</v>
      </c>
      <c r="F14" t="s">
        <v>9</v>
      </c>
      <c r="G14" s="4">
        <v>46622</v>
      </c>
      <c r="H14" t="str">
        <f t="shared" ca="1" si="0"/>
        <v>EM SER</v>
      </c>
    </row>
    <row r="15" spans="1:8" x14ac:dyDescent="0.25">
      <c r="A15" s="4">
        <v>45526</v>
      </c>
      <c r="B15" s="5">
        <v>1000</v>
      </c>
      <c r="C15" t="s">
        <v>12</v>
      </c>
      <c r="D15" t="s">
        <v>16</v>
      </c>
      <c r="E15" s="6">
        <v>0.96</v>
      </c>
      <c r="F15" t="s">
        <v>9</v>
      </c>
      <c r="G15" s="4">
        <v>45803</v>
      </c>
      <c r="H15" t="str">
        <f t="shared" ca="1" si="0"/>
        <v>LIQUIDADO</v>
      </c>
    </row>
    <row r="16" spans="1:8" x14ac:dyDescent="0.25">
      <c r="A16" s="4">
        <v>45526</v>
      </c>
      <c r="B16" s="5">
        <v>1829.15</v>
      </c>
      <c r="C16" t="s">
        <v>7</v>
      </c>
      <c r="D16" t="s">
        <v>8</v>
      </c>
      <c r="E16" s="6">
        <v>1.1000000000000001</v>
      </c>
      <c r="F16" t="s">
        <v>9</v>
      </c>
      <c r="G16" s="4">
        <v>46622</v>
      </c>
      <c r="H16" t="str">
        <f t="shared" ca="1" si="0"/>
        <v>EM SER</v>
      </c>
    </row>
    <row r="17" spans="1:8" x14ac:dyDescent="0.25">
      <c r="A17" s="4">
        <v>45558</v>
      </c>
      <c r="B17" s="5">
        <v>3000</v>
      </c>
      <c r="C17" t="s">
        <v>12</v>
      </c>
      <c r="D17" t="s">
        <v>13</v>
      </c>
      <c r="E17" s="6">
        <v>0.112</v>
      </c>
      <c r="F17" t="s">
        <v>10</v>
      </c>
      <c r="G17" s="4">
        <v>45918</v>
      </c>
      <c r="H17" t="str">
        <f t="shared" ca="1" si="0"/>
        <v>LIQUIDADO</v>
      </c>
    </row>
    <row r="18" spans="1:8" x14ac:dyDescent="0.25">
      <c r="A18" s="4">
        <v>45618</v>
      </c>
      <c r="B18" s="5">
        <v>5000</v>
      </c>
      <c r="C18" t="s">
        <v>14</v>
      </c>
      <c r="D18" t="s">
        <v>13</v>
      </c>
      <c r="E18" s="6">
        <v>0.121</v>
      </c>
      <c r="F18" t="s">
        <v>10</v>
      </c>
      <c r="G18" s="4">
        <v>46157</v>
      </c>
      <c r="H18" t="str">
        <f t="shared" ca="1" si="0"/>
        <v>EM SER</v>
      </c>
    </row>
    <row r="19" spans="1:8" x14ac:dyDescent="0.25">
      <c r="A19" s="4">
        <v>45645</v>
      </c>
      <c r="B19" s="5">
        <v>4170.1099999999997</v>
      </c>
      <c r="C19" t="s">
        <v>7</v>
      </c>
      <c r="D19" t="s">
        <v>8</v>
      </c>
      <c r="E19" s="6">
        <v>1.1000000000000001</v>
      </c>
      <c r="F19" t="s">
        <v>9</v>
      </c>
      <c r="G19" s="4">
        <v>46741</v>
      </c>
      <c r="H19" t="str">
        <f t="shared" ca="1" si="0"/>
        <v>EM SER</v>
      </c>
    </row>
    <row r="20" spans="1:8" x14ac:dyDescent="0.25">
      <c r="A20" s="4">
        <v>45664</v>
      </c>
      <c r="B20" s="5">
        <v>1670</v>
      </c>
      <c r="C20" t="s">
        <v>7</v>
      </c>
      <c r="D20" t="s">
        <v>8</v>
      </c>
      <c r="E20" s="6">
        <v>1.1000000000000001</v>
      </c>
      <c r="F20" t="s">
        <v>9</v>
      </c>
      <c r="G20" s="4">
        <v>46762</v>
      </c>
      <c r="H20" t="str">
        <f t="shared" ca="1" si="0"/>
        <v>EM SER</v>
      </c>
    </row>
    <row r="21" spans="1:8" x14ac:dyDescent="0.25">
      <c r="A21" s="4">
        <v>45666</v>
      </c>
      <c r="B21" s="5">
        <v>6000</v>
      </c>
      <c r="C21" t="s">
        <v>12</v>
      </c>
      <c r="D21" t="s">
        <v>13</v>
      </c>
      <c r="E21" s="6">
        <v>0.13900000000000001</v>
      </c>
      <c r="F21" t="s">
        <v>10</v>
      </c>
      <c r="G21" s="4">
        <v>46387</v>
      </c>
      <c r="H21" t="str">
        <f t="shared" ca="1" si="0"/>
        <v>EM SER</v>
      </c>
    </row>
    <row r="22" spans="1:8" x14ac:dyDescent="0.25">
      <c r="A22" s="4">
        <v>45672</v>
      </c>
      <c r="B22" s="5">
        <v>1000</v>
      </c>
      <c r="C22" t="s">
        <v>7</v>
      </c>
      <c r="D22" t="s">
        <v>11</v>
      </c>
      <c r="E22" s="6">
        <v>0.155</v>
      </c>
      <c r="F22" t="s">
        <v>10</v>
      </c>
      <c r="G22" s="4">
        <v>46393</v>
      </c>
      <c r="H22" t="str">
        <f t="shared" ca="1" si="0"/>
        <v>EM SER</v>
      </c>
    </row>
    <row r="23" spans="1:8" x14ac:dyDescent="0.25">
      <c r="A23" s="4">
        <v>45678</v>
      </c>
      <c r="B23" s="5">
        <v>2000</v>
      </c>
      <c r="C23" t="s">
        <v>7</v>
      </c>
      <c r="D23" t="s">
        <v>11</v>
      </c>
      <c r="E23" s="6">
        <v>0.156</v>
      </c>
      <c r="F23" t="s">
        <v>10</v>
      </c>
      <c r="G23" s="4">
        <v>46399</v>
      </c>
      <c r="H23" t="str">
        <f t="shared" ca="1" si="0"/>
        <v>EM SER</v>
      </c>
    </row>
    <row r="24" spans="1:8" x14ac:dyDescent="0.25">
      <c r="A24" s="4">
        <v>45705</v>
      </c>
      <c r="B24" s="5">
        <v>5000</v>
      </c>
      <c r="C24" t="s">
        <v>12</v>
      </c>
      <c r="D24" t="s">
        <v>13</v>
      </c>
      <c r="E24" s="6">
        <v>0.13300000000000001</v>
      </c>
      <c r="F24" t="s">
        <v>10</v>
      </c>
      <c r="G24" s="4">
        <v>46066</v>
      </c>
      <c r="H24" t="str">
        <f t="shared" ca="1" si="0"/>
        <v>LIQUIDADO</v>
      </c>
    </row>
    <row r="25" spans="1:8" x14ac:dyDescent="0.25">
      <c r="A25" s="4">
        <v>45709</v>
      </c>
      <c r="B25" s="5">
        <v>4000</v>
      </c>
      <c r="C25" t="s">
        <v>14</v>
      </c>
      <c r="D25" t="s">
        <v>15</v>
      </c>
      <c r="E25" s="6">
        <v>0.13700000000000001</v>
      </c>
      <c r="F25" t="s">
        <v>10</v>
      </c>
      <c r="G25" s="4">
        <v>46440</v>
      </c>
      <c r="H25" t="str">
        <f t="shared" ca="1" si="0"/>
        <v>EM SER</v>
      </c>
    </row>
    <row r="26" spans="1:8" x14ac:dyDescent="0.25">
      <c r="A26" s="4">
        <v>45723</v>
      </c>
      <c r="B26" s="5">
        <v>1000</v>
      </c>
      <c r="C26" t="s">
        <v>12</v>
      </c>
      <c r="D26" t="s">
        <v>13</v>
      </c>
      <c r="E26" s="6">
        <v>0.13469999999999999</v>
      </c>
      <c r="F26" t="s">
        <v>10</v>
      </c>
      <c r="G26" s="4">
        <v>46804</v>
      </c>
      <c r="H26" t="str">
        <f t="shared" ca="1" si="0"/>
        <v>EM SER</v>
      </c>
    </row>
    <row r="27" spans="1:8" x14ac:dyDescent="0.25">
      <c r="A27" s="4">
        <v>45740</v>
      </c>
      <c r="B27" s="5">
        <v>10000</v>
      </c>
      <c r="C27" t="s">
        <v>12</v>
      </c>
      <c r="D27" t="s">
        <v>13</v>
      </c>
      <c r="E27" s="6">
        <v>0.93</v>
      </c>
      <c r="F27" t="s">
        <v>9</v>
      </c>
      <c r="G27" s="4">
        <v>46101</v>
      </c>
      <c r="H27" t="str">
        <f t="shared" ca="1" si="0"/>
        <v>EM SER</v>
      </c>
    </row>
    <row r="28" spans="1:8" x14ac:dyDescent="0.25">
      <c r="A28" s="4">
        <v>45770</v>
      </c>
      <c r="B28" s="5">
        <v>1000</v>
      </c>
      <c r="C28" t="s">
        <v>12</v>
      </c>
      <c r="D28" t="s">
        <v>13</v>
      </c>
      <c r="E28" s="6">
        <v>0.92500000000000004</v>
      </c>
      <c r="F28" t="s">
        <v>9</v>
      </c>
      <c r="G28" s="4">
        <v>46045</v>
      </c>
      <c r="H28" t="str">
        <f t="shared" ca="1" si="0"/>
        <v>LIQUIDADO</v>
      </c>
    </row>
    <row r="29" spans="1:8" x14ac:dyDescent="0.25">
      <c r="A29" s="4">
        <v>45796</v>
      </c>
      <c r="B29" s="5">
        <v>17000</v>
      </c>
      <c r="C29" t="s">
        <v>7</v>
      </c>
      <c r="D29" t="s">
        <v>11</v>
      </c>
      <c r="E29" s="6">
        <v>0.1512</v>
      </c>
      <c r="F29" t="s">
        <v>10</v>
      </c>
      <c r="G29" s="4">
        <v>46517</v>
      </c>
      <c r="H29" t="str">
        <f t="shared" ca="1" si="0"/>
        <v>EM SER</v>
      </c>
    </row>
    <row r="30" spans="1:8" x14ac:dyDescent="0.25">
      <c r="A30" s="4">
        <v>45799</v>
      </c>
      <c r="B30" s="5">
        <v>2000</v>
      </c>
      <c r="C30" t="s">
        <v>12</v>
      </c>
      <c r="D30" t="s">
        <v>13</v>
      </c>
      <c r="E30" s="6">
        <v>0.13020000000000001</v>
      </c>
      <c r="F30" t="s">
        <v>10</v>
      </c>
      <c r="G30" s="4">
        <v>46160</v>
      </c>
      <c r="H30" t="str">
        <f t="shared" ca="1" si="0"/>
        <v>EM SER</v>
      </c>
    </row>
    <row r="31" spans="1:8" x14ac:dyDescent="0.25">
      <c r="A31" s="4">
        <v>45805</v>
      </c>
      <c r="B31" s="5">
        <v>1000</v>
      </c>
      <c r="C31" t="s">
        <v>14</v>
      </c>
      <c r="D31" t="s">
        <v>16</v>
      </c>
      <c r="E31" s="6">
        <v>0.96</v>
      </c>
      <c r="F31" t="s">
        <v>9</v>
      </c>
      <c r="G31" s="4">
        <v>46170</v>
      </c>
      <c r="H31" t="str">
        <f t="shared" ca="1" si="0"/>
        <v>EM SER</v>
      </c>
    </row>
    <row r="32" spans="1:8" x14ac:dyDescent="0.25">
      <c r="A32" s="4">
        <v>45840</v>
      </c>
      <c r="B32" s="5">
        <v>1000</v>
      </c>
      <c r="C32" t="s">
        <v>14</v>
      </c>
      <c r="D32" t="s">
        <v>16</v>
      </c>
      <c r="E32" s="6">
        <v>0.96</v>
      </c>
      <c r="F32" t="s">
        <v>9</v>
      </c>
      <c r="G32" s="4">
        <v>46560</v>
      </c>
      <c r="H32" t="str">
        <f t="shared" ca="1" si="0"/>
        <v>EM SER</v>
      </c>
    </row>
    <row r="33" spans="1:8" x14ac:dyDescent="0.25">
      <c r="A33" s="4">
        <v>45856</v>
      </c>
      <c r="B33" s="5">
        <v>1119.6500000000001</v>
      </c>
      <c r="C33" t="s">
        <v>7</v>
      </c>
      <c r="D33" t="s">
        <v>8</v>
      </c>
      <c r="E33" s="6">
        <v>0.1</v>
      </c>
      <c r="F33" t="s">
        <v>18</v>
      </c>
      <c r="G33" s="4">
        <v>46223</v>
      </c>
      <c r="H33" t="str">
        <f t="shared" ca="1" si="0"/>
        <v>EM SER</v>
      </c>
    </row>
    <row r="34" spans="1:8" x14ac:dyDescent="0.25">
      <c r="A34" s="4">
        <v>45860</v>
      </c>
      <c r="B34" s="5">
        <v>3000</v>
      </c>
      <c r="C34" t="s">
        <v>12</v>
      </c>
      <c r="D34" t="s">
        <v>13</v>
      </c>
      <c r="E34" s="6">
        <v>0.94</v>
      </c>
      <c r="F34" t="s">
        <v>9</v>
      </c>
      <c r="G34" s="4">
        <v>46940</v>
      </c>
      <c r="H34" t="str">
        <f t="shared" ca="1" si="0"/>
        <v>EM SER</v>
      </c>
    </row>
    <row r="35" spans="1:8" x14ac:dyDescent="0.25">
      <c r="A35" s="4">
        <v>45863</v>
      </c>
      <c r="B35" s="5">
        <v>1000</v>
      </c>
      <c r="C35" t="s">
        <v>14</v>
      </c>
      <c r="D35" t="s">
        <v>16</v>
      </c>
      <c r="E35" s="6">
        <v>0.94499999999999995</v>
      </c>
      <c r="F35" t="s">
        <v>9</v>
      </c>
      <c r="G35" s="4">
        <v>46200</v>
      </c>
      <c r="H35" t="str">
        <f t="shared" ca="1" si="0"/>
        <v>EM SER</v>
      </c>
    </row>
    <row r="36" spans="1:8" x14ac:dyDescent="0.25">
      <c r="A36" s="4">
        <v>45912</v>
      </c>
      <c r="B36" s="5">
        <v>2000</v>
      </c>
      <c r="C36" t="s">
        <v>12</v>
      </c>
      <c r="D36" t="s">
        <v>19</v>
      </c>
      <c r="E36" s="6">
        <v>0.13</v>
      </c>
      <c r="F36" t="s">
        <v>10</v>
      </c>
      <c r="G36" s="4">
        <v>46279</v>
      </c>
      <c r="H36" t="str">
        <f t="shared" ca="1" si="0"/>
        <v>EM SER</v>
      </c>
    </row>
    <row r="37" spans="1:8" x14ac:dyDescent="0.25">
      <c r="A37" s="4">
        <v>45922</v>
      </c>
      <c r="B37" s="5">
        <v>5000</v>
      </c>
      <c r="C37" t="s">
        <v>12</v>
      </c>
      <c r="D37" t="s">
        <v>13</v>
      </c>
      <c r="E37" s="6">
        <v>0.94</v>
      </c>
      <c r="F37" t="s">
        <v>9</v>
      </c>
      <c r="G37" s="4">
        <v>47002</v>
      </c>
      <c r="H37" t="str">
        <f t="shared" ca="1" si="0"/>
        <v>EM SER</v>
      </c>
    </row>
    <row r="38" spans="1:8" x14ac:dyDescent="0.25">
      <c r="A38" s="4">
        <v>46048</v>
      </c>
      <c r="B38" s="5">
        <v>1000</v>
      </c>
      <c r="C38" t="s">
        <v>14</v>
      </c>
      <c r="D38" t="s">
        <v>13</v>
      </c>
      <c r="E38" s="6">
        <v>0.11700000000000001</v>
      </c>
      <c r="F38" t="s">
        <v>10</v>
      </c>
      <c r="G38" s="4">
        <v>46413</v>
      </c>
      <c r="H38" t="str">
        <f t="shared" ca="1" si="0"/>
        <v>EM SER</v>
      </c>
    </row>
    <row r="39" spans="1:8" x14ac:dyDescent="0.25">
      <c r="A39" s="4">
        <v>46064</v>
      </c>
      <c r="B39" s="5">
        <v>11000</v>
      </c>
      <c r="C39" t="s">
        <v>12</v>
      </c>
      <c r="D39" t="s">
        <v>13</v>
      </c>
      <c r="E39" s="6">
        <v>0.92</v>
      </c>
      <c r="F39" t="s">
        <v>9</v>
      </c>
      <c r="G39" s="4">
        <v>46794</v>
      </c>
      <c r="H39" t="str">
        <f t="shared" ca="1" si="0"/>
        <v>EM SER</v>
      </c>
    </row>
    <row r="40" spans="1:8" x14ac:dyDescent="0.25">
      <c r="A40" s="4">
        <v>46073</v>
      </c>
      <c r="B40" s="5">
        <v>6000</v>
      </c>
      <c r="C40" t="s">
        <v>12</v>
      </c>
      <c r="D40" t="s">
        <v>13</v>
      </c>
      <c r="E40" s="6">
        <v>0.92</v>
      </c>
      <c r="F40" t="s">
        <v>9</v>
      </c>
      <c r="G40" s="4">
        <v>46804</v>
      </c>
      <c r="H40" t="str">
        <f t="shared" ca="1" si="0"/>
        <v>EM SER</v>
      </c>
    </row>
  </sheetData>
  <autoFilter ref="A1:H40" xr:uid="{8C2943AF-AFBA-436B-B954-EF4F705F629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Primerano</dc:creator>
  <cp:lastModifiedBy>Vincenzo Primerano</cp:lastModifiedBy>
  <dcterms:created xsi:type="dcterms:W3CDTF">2025-05-16T01:15:26Z</dcterms:created>
  <dcterms:modified xsi:type="dcterms:W3CDTF">2026-02-22T14:34:13Z</dcterms:modified>
</cp:coreProperties>
</file>